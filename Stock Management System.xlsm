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 ducat online  classes\Advance_Excel\"/>
    </mc:Choice>
  </mc:AlternateContent>
  <xr:revisionPtr revIDLastSave="0" documentId="8_{C7EC1035-D26C-446B-94DA-D75321DCEFFD}" xr6:coauthVersionLast="47" xr6:coauthVersionMax="47" xr10:uidLastSave="{00000000-0000-0000-0000-000000000000}"/>
  <bookViews>
    <workbookView xWindow="-108" yWindow="-108" windowWidth="23256" windowHeight="12576" xr2:uid="{3AEF2B70-6033-4119-B1B4-89AB2156859D}"/>
  </bookViews>
  <sheets>
    <sheet name="Main Menu" sheetId="1" r:id="rId1"/>
    <sheet name="Purchase" sheetId="4" r:id="rId2"/>
    <sheet name="Sales" sheetId="7" r:id="rId3"/>
    <sheet name="Stock" sheetId="6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6" l="1"/>
  <c r="D2" i="6" s="1"/>
  <c r="C3" i="6"/>
  <c r="D3" i="6" s="1"/>
  <c r="C4" i="6"/>
  <c r="D4" i="6" s="1"/>
  <c r="C5" i="6"/>
  <c r="D5" i="6" s="1"/>
  <c r="C6" i="6"/>
  <c r="D6" i="6" s="1"/>
  <c r="C7" i="6"/>
  <c r="D7" i="6" s="1"/>
  <c r="C8" i="6"/>
  <c r="D8" i="6" s="1"/>
  <c r="C9" i="6"/>
  <c r="D9" i="6" s="1"/>
  <c r="C10" i="6"/>
  <c r="D10" i="6" s="1"/>
  <c r="C11" i="6"/>
  <c r="D11" i="6" s="1"/>
  <c r="C12" i="6"/>
  <c r="D12" i="6" s="1"/>
  <c r="C13" i="6"/>
  <c r="D13" i="6" s="1"/>
  <c r="C14" i="6"/>
  <c r="D14" i="6" s="1"/>
  <c r="C15" i="6"/>
  <c r="D15" i="6" s="1"/>
  <c r="A12" i="4"/>
  <c r="A13" i="4"/>
  <c r="A14" i="4"/>
  <c r="A3" i="4"/>
  <c r="A4" i="4"/>
  <c r="A5" i="4"/>
  <c r="A6" i="4"/>
  <c r="A7" i="4"/>
  <c r="A8" i="4"/>
  <c r="A9" i="4"/>
  <c r="A10" i="4"/>
  <c r="A11" i="4"/>
  <c r="A12" i="6"/>
  <c r="A13" i="6"/>
  <c r="A14" i="6"/>
  <c r="A15" i="6"/>
  <c r="A7" i="6"/>
  <c r="A8" i="6"/>
  <c r="A9" i="6"/>
  <c r="A10" i="6"/>
  <c r="A11" i="6"/>
  <c r="A3" i="6"/>
  <c r="A4" i="6"/>
  <c r="A5" i="6"/>
  <c r="A6" i="6"/>
  <c r="A2" i="6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" i="4"/>
</calcChain>
</file>

<file path=xl/sharedStrings.xml><?xml version="1.0" encoding="utf-8"?>
<sst xmlns="http://schemas.openxmlformats.org/spreadsheetml/2006/main" count="40" uniqueCount="22">
  <si>
    <t>Date</t>
  </si>
  <si>
    <t>Invoice No.</t>
  </si>
  <si>
    <t>Item Name</t>
  </si>
  <si>
    <t>Quentity</t>
  </si>
  <si>
    <t>Quantity</t>
  </si>
  <si>
    <t>Reminder</t>
  </si>
  <si>
    <t>"CTRL+SHIFT+L" NO FILTER</t>
  </si>
  <si>
    <t>Monitor</t>
  </si>
  <si>
    <t>keyboard</t>
  </si>
  <si>
    <t>Speaker</t>
  </si>
  <si>
    <t>Mouse</t>
  </si>
  <si>
    <t>Head Phone</t>
  </si>
  <si>
    <t>Printer</t>
  </si>
  <si>
    <t>Web Cam</t>
  </si>
  <si>
    <t>Scanner</t>
  </si>
  <si>
    <t>Projector</t>
  </si>
  <si>
    <t>CPU</t>
  </si>
  <si>
    <t>RAM</t>
  </si>
  <si>
    <t>Price</t>
  </si>
  <si>
    <t>USB</t>
  </si>
  <si>
    <t>Pendrive</t>
  </si>
  <si>
    <t>S.NO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</si>
</sst>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6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2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4" borderId="1" xfId="0" applyFont="1" applyFill="1" applyBorder="1"/>
    <xf numFmtId="0" fontId="1" fillId="4" borderId="2" xfId="0" applyFont="1" applyFill="1" applyBorder="1"/>
    <xf numFmtId="0" fontId="1" fillId="4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1" fillId="4" borderId="9" xfId="0" applyFont="1" applyFill="1" applyBorder="1"/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0" xfId="0" applyFont="1" applyFill="1" applyBorder="1"/>
    <xf numFmtId="0" fontId="3" fillId="5" borderId="6" xfId="0" applyFont="1" applyFill="1" applyBorder="1"/>
    <xf numFmtId="0" fontId="3" fillId="5" borderId="4" xfId="0" applyFont="1" applyFill="1" applyBorder="1"/>
    <xf numFmtId="0" fontId="3" fillId="5" borderId="7" xfId="0" applyFont="1" applyFill="1" applyBorder="1"/>
    <xf numFmtId="0" fontId="1" fillId="6" borderId="1" xfId="0" applyFont="1" applyFill="1" applyBorder="1"/>
    <xf numFmtId="0" fontId="1" fillId="4" borderId="8" xfId="0" applyFont="1" applyFill="1" applyBorder="1"/>
    <xf numFmtId="0" fontId="3" fillId="2" borderId="1" xfId="0" applyFont="1" applyFill="1" applyBorder="1"/>
    <xf numFmtId="0" fontId="1" fillId="7" borderId="1" xfId="0" applyFont="1" applyFill="1" applyBorder="1"/>
    <xf numFmtId="0" fontId="3" fillId="5" borderId="1" xfId="0" applyFont="1" applyFill="1" applyBorder="1"/>
    <xf numFmtId="0" fontId="5" fillId="4" borderId="1" xfId="0" applyFont="1" applyFill="1" applyBorder="1"/>
    <xf numFmtId="0" fontId="5" fillId="4" borderId="2" xfId="0" applyFont="1" applyFill="1" applyBorder="1"/>
    <xf numFmtId="0" fontId="5" fillId="4" borderId="5" xfId="0" applyFont="1" applyFill="1" applyBorder="1"/>
    <xf numFmtId="0" fontId="5" fillId="4" borderId="3" xfId="0" applyFont="1" applyFill="1" applyBorder="1"/>
    <xf numFmtId="0" fontId="5" fillId="4" borderId="9" xfId="0" applyFont="1" applyFill="1" applyBorder="1"/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rgb="FF00B0F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s!A1"/><Relationship Id="rId1" Type="http://schemas.openxmlformats.org/officeDocument/2006/relationships/hyperlink" Target="#Purchas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ain Menu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Main Menu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Main Menu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7</xdr:row>
      <xdr:rowOff>66675</xdr:rowOff>
    </xdr:from>
    <xdr:to>
      <xdr:col>5</xdr:col>
      <xdr:colOff>419100</xdr:colOff>
      <xdr:row>8</xdr:row>
      <xdr:rowOff>123825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F03AA0-199D-EFF9-9F26-220C25F8F4AA}"/>
            </a:ext>
          </a:extLst>
        </xdr:cNvPr>
        <xdr:cNvSpPr/>
      </xdr:nvSpPr>
      <xdr:spPr>
        <a:xfrm>
          <a:off x="3143250" y="1590675"/>
          <a:ext cx="1628775" cy="390525"/>
        </a:xfrm>
        <a:prstGeom prst="roundRect">
          <a:avLst>
            <a:gd name="adj" fmla="val 6911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PURCHASE</a:t>
          </a:r>
          <a:endParaRPr lang="en-US" sz="1100"/>
        </a:p>
      </xdr:txBody>
    </xdr:sp>
    <xdr:clientData/>
  </xdr:twoCellAnchor>
  <xdr:twoCellAnchor>
    <xdr:from>
      <xdr:col>3</xdr:col>
      <xdr:colOff>19050</xdr:colOff>
      <xdr:row>9</xdr:row>
      <xdr:rowOff>180975</xdr:rowOff>
    </xdr:from>
    <xdr:to>
      <xdr:col>5</xdr:col>
      <xdr:colOff>428625</xdr:colOff>
      <xdr:row>10</xdr:row>
      <xdr:rowOff>238125</xdr:rowOff>
    </xdr:to>
    <xdr:sp macro="[0]!Macro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113F680-D801-AA66-5647-534671FEE602}"/>
            </a:ext>
          </a:extLst>
        </xdr:cNvPr>
        <xdr:cNvSpPr/>
      </xdr:nvSpPr>
      <xdr:spPr>
        <a:xfrm>
          <a:off x="3152775" y="2371725"/>
          <a:ext cx="1628775" cy="390525"/>
        </a:xfrm>
        <a:prstGeom prst="roundRect">
          <a:avLst>
            <a:gd name="adj" fmla="val 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SALES</a:t>
          </a:r>
          <a:endParaRPr lang="en-US" sz="1100"/>
        </a:p>
      </xdr:txBody>
    </xdr:sp>
    <xdr:clientData/>
  </xdr:twoCellAnchor>
  <xdr:twoCellAnchor>
    <xdr:from>
      <xdr:col>2</xdr:col>
      <xdr:colOff>466725</xdr:colOff>
      <xdr:row>1</xdr:row>
      <xdr:rowOff>104775</xdr:rowOff>
    </xdr:from>
    <xdr:to>
      <xdr:col>5</xdr:col>
      <xdr:colOff>266700</xdr:colOff>
      <xdr:row>3</xdr:row>
      <xdr:rowOff>114300</xdr:rowOff>
    </xdr:to>
    <xdr:sp macro="" textlink="">
      <xdr:nvSpPr>
        <xdr:cNvPr id="4" name="Rectangle: Rounded Corner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B758EC5-5FDE-20CB-D955-5D022A763F6A}"/>
            </a:ext>
          </a:extLst>
        </xdr:cNvPr>
        <xdr:cNvSpPr/>
      </xdr:nvSpPr>
      <xdr:spPr>
        <a:xfrm>
          <a:off x="2990850" y="295275"/>
          <a:ext cx="1628775" cy="390525"/>
        </a:xfrm>
        <a:prstGeom prst="roundRect">
          <a:avLst>
            <a:gd name="adj" fmla="val 6911"/>
          </a:avLst>
        </a:prstGeom>
        <a:ln>
          <a:solidFill>
            <a:schemeClr val="bg1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PURCHASE</a:t>
          </a:r>
          <a:endParaRPr lang="en-US" sz="11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xdr:twoCellAnchor>
    <xdr:from>
      <xdr:col>6</xdr:col>
      <xdr:colOff>571500</xdr:colOff>
      <xdr:row>1</xdr:row>
      <xdr:rowOff>95250</xdr:rowOff>
    </xdr:from>
    <xdr:to>
      <xdr:col>9</xdr:col>
      <xdr:colOff>371475</xdr:colOff>
      <xdr:row>3</xdr:row>
      <xdr:rowOff>104775</xdr:rowOff>
    </xdr:to>
    <xdr:sp macro="" textlink="">
      <xdr:nvSpPr>
        <xdr:cNvPr id="5" name="Rectangle: Rounded Corner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F4E8290-1CA8-29F4-A796-1178D506EAA9}"/>
            </a:ext>
          </a:extLst>
        </xdr:cNvPr>
        <xdr:cNvSpPr/>
      </xdr:nvSpPr>
      <xdr:spPr>
        <a:xfrm>
          <a:off x="5534025" y="285750"/>
          <a:ext cx="1628775" cy="390525"/>
        </a:xfrm>
        <a:prstGeom prst="roundRect">
          <a:avLst>
            <a:gd name="adj" fmla="val 6911"/>
          </a:avLst>
        </a:prstGeom>
        <a:ln>
          <a:solidFill>
            <a:schemeClr val="bg1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n-lt"/>
              <a:ea typeface="+mn-ea"/>
              <a:cs typeface="+mn-cs"/>
            </a:rPr>
            <a:t>SALES</a:t>
          </a:r>
        </a:p>
      </xdr:txBody>
    </xdr:sp>
    <xdr:clientData/>
  </xdr:twoCellAnchor>
  <xdr:twoCellAnchor>
    <xdr:from>
      <xdr:col>11</xdr:col>
      <xdr:colOff>66675</xdr:colOff>
      <xdr:row>1</xdr:row>
      <xdr:rowOff>85725</xdr:rowOff>
    </xdr:from>
    <xdr:to>
      <xdr:col>13</xdr:col>
      <xdr:colOff>476250</xdr:colOff>
      <xdr:row>3</xdr:row>
      <xdr:rowOff>95250</xdr:rowOff>
    </xdr:to>
    <xdr:sp macro="" textlink="">
      <xdr:nvSpPr>
        <xdr:cNvPr id="6" name="Rectangle: Rounded Corner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06A3D96-B2A9-FAA6-80CF-69C99BB8DF04}"/>
            </a:ext>
          </a:extLst>
        </xdr:cNvPr>
        <xdr:cNvSpPr/>
      </xdr:nvSpPr>
      <xdr:spPr>
        <a:xfrm>
          <a:off x="8077200" y="276225"/>
          <a:ext cx="1628775" cy="390525"/>
        </a:xfrm>
        <a:prstGeom prst="roundRect">
          <a:avLst>
            <a:gd name="adj" fmla="val 6911"/>
          </a:avLst>
        </a:prstGeom>
        <a:ln>
          <a:solidFill>
            <a:schemeClr val="bg1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8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+mn-lt"/>
              <a:ea typeface="+mn-ea"/>
              <a:cs typeface="+mn-cs"/>
            </a:rPr>
            <a:t>STOCK</a:t>
          </a:r>
        </a:p>
        <a:p>
          <a:pPr marL="0" indent="0" algn="ctr"/>
          <a:endParaRPr lang="en-US" sz="1800" b="1" cap="none" spc="50">
            <a:ln w="0"/>
            <a:solidFill>
              <a:schemeClr val="bg1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11</xdr:col>
      <xdr:colOff>238125</xdr:colOff>
      <xdr:row>3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D54786-F070-4295-8DE9-09DC50E6CA3C}"/>
            </a:ext>
          </a:extLst>
        </xdr:cNvPr>
        <xdr:cNvSpPr/>
      </xdr:nvSpPr>
      <xdr:spPr>
        <a:xfrm>
          <a:off x="5553075" y="1000125"/>
          <a:ext cx="2066925" cy="5048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Go</a:t>
          </a:r>
          <a:r>
            <a:rPr lang="en-US" sz="1800" baseline="0"/>
            <a:t> To </a:t>
          </a:r>
          <a:r>
            <a:rPr lang="en-US" sz="2000" baseline="0"/>
            <a:t>Main</a:t>
          </a:r>
          <a:r>
            <a:rPr lang="en-US" sz="1800" baseline="0"/>
            <a:t> Menu</a:t>
          </a:r>
          <a:endParaRPr lang="en-US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11</xdr:col>
      <xdr:colOff>238125</xdr:colOff>
      <xdr:row>3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537BD7-9707-4B3D-89A1-EEB292056BD4}"/>
            </a:ext>
          </a:extLst>
        </xdr:cNvPr>
        <xdr:cNvSpPr/>
      </xdr:nvSpPr>
      <xdr:spPr>
        <a:xfrm>
          <a:off x="7391400" y="666750"/>
          <a:ext cx="2066925" cy="5048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Go</a:t>
          </a:r>
          <a:r>
            <a:rPr lang="en-US" sz="1800" baseline="0"/>
            <a:t> To </a:t>
          </a:r>
          <a:r>
            <a:rPr lang="en-US" sz="2000" baseline="0"/>
            <a:t>Main</a:t>
          </a:r>
          <a:r>
            <a:rPr lang="en-US" sz="1800" baseline="0"/>
            <a:t> Menu</a:t>
          </a:r>
          <a:endParaRPr lang="en-US" sz="1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9</xdr:col>
      <xdr:colOff>238125</xdr:colOff>
      <xdr:row>2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9EF60-0B8F-41F1-BF14-7472BB5C6AA3}"/>
            </a:ext>
          </a:extLst>
        </xdr:cNvPr>
        <xdr:cNvSpPr/>
      </xdr:nvSpPr>
      <xdr:spPr>
        <a:xfrm>
          <a:off x="4743450" y="333375"/>
          <a:ext cx="2066925" cy="5048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Go</a:t>
          </a:r>
          <a:r>
            <a:rPr lang="en-US" sz="1800" baseline="0"/>
            <a:t> To </a:t>
          </a:r>
          <a:r>
            <a:rPr lang="en-US" sz="2000" baseline="0"/>
            <a:t>Main</a:t>
          </a:r>
          <a:r>
            <a:rPr lang="en-US" sz="1800" baseline="0"/>
            <a:t> Menu</a:t>
          </a:r>
          <a:endParaRPr lang="en-US" sz="18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F4753F-772D-460C-8306-3C9918D69BD7}" name="Table2" displayName="Table2" ref="B1:F14" totalsRowShown="0" headerRowDxfId="27" headerRowBorderDxfId="26" tableBorderDxfId="25" totalsRowBorderDxfId="24">
  <tableColumns count="5">
    <tableColumn id="1" xr3:uid="{88D7B45C-61D4-457F-8BD6-0B7964D7B72C}" name="Date" dataDxfId="23"/>
    <tableColumn id="2" xr3:uid="{F241B755-0000-4C2C-A8F4-5E60013ABD00}" name="Invoice No." dataDxfId="22"/>
    <tableColumn id="3" xr3:uid="{76171926-2D0F-43BE-8638-6106D931501B}" name="Item Name" dataDxfId="21"/>
    <tableColumn id="4" xr3:uid="{4F0DE2C1-74CD-4AFB-A9C8-977EA9CC940F}" name="Quentity" dataDxfId="20"/>
    <tableColumn id="5" xr3:uid="{A3BBB47E-7FCD-4720-B72C-E945B93D0C04}" name="Price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28521A-4738-4A11-BE7D-1C4032B7CE5E}" name="Table1" displayName="Table1" ref="A1:F21" totalsRowShown="0" headerRowDxfId="18" dataDxfId="16" headerRowBorderDxfId="17" tableBorderDxfId="15" totalsRowBorderDxfId="14">
  <tableColumns count="6">
    <tableColumn id="1" xr3:uid="{74F67025-6601-4506-9520-55B13A97D5A9}" name="S.NO" dataDxfId="13">
      <calculatedColumnFormula>SUBTOTAL(3,$B$2:B2)</calculatedColumnFormula>
    </tableColumn>
    <tableColumn id="2" xr3:uid="{9C24368D-7BF1-4402-93A7-0CAF5676BC95}" name="Date" dataDxfId="12"/>
    <tableColumn id="3" xr3:uid="{C1BB60D2-ECC6-4C55-AC03-8C573E174681}" name="Invoice No." dataDxfId="11"/>
    <tableColumn id="4" xr3:uid="{497BF142-DB01-4E89-83E1-930E1B715BE3}" name="Item Name" dataDxfId="10"/>
    <tableColumn id="5" xr3:uid="{2A547C08-AA34-45C6-A28E-37DBAEF82796}" name="Quentity" dataDxfId="9"/>
    <tableColumn id="6" xr3:uid="{9FFCE9C3-ABF3-4DCB-869A-19F4A2436048}" name="Price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F0F250-0739-4CC0-A075-B408ACDE4CA2}" name="Table3" displayName="Table3" ref="B1:D15" totalsRowShown="0" headerRowDxfId="7" headerRowBorderDxfId="6" tableBorderDxfId="5" totalsRowBorderDxfId="4">
  <tableColumns count="3">
    <tableColumn id="1" xr3:uid="{2824C224-C927-45DC-A14B-654E35EF54FD}" name="Item Name" dataDxfId="3"/>
    <tableColumn id="2" xr3:uid="{3105366C-7A72-49AD-9E73-1B7298392614}" name="Quantity" dataDxfId="2">
      <calculatedColumnFormula>SUMIF(Purchase!D:D,Stock!B:B,Purchase!E:E)-SUMIF(Sales!D:D,Stock!B:B,Sales!E:E)</calculatedColumnFormula>
    </tableColumn>
    <tableColumn id="3" xr3:uid="{36E35B20-84A1-4322-9069-F567818DFBD0}" name="Reminder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D8D9-359C-4890-9016-69EA63FB64F3}">
  <sheetPr codeName="Sheet1"/>
  <dimension ref="A1:Q26"/>
  <sheetViews>
    <sheetView showGridLines="0" tabSelected="1" workbookViewId="0">
      <selection activeCell="B7" sqref="B7"/>
    </sheetView>
  </sheetViews>
  <sheetFormatPr defaultRowHeight="14.4" x14ac:dyDescent="0.3"/>
  <cols>
    <col min="1" max="1" width="19.33203125" bestFit="1" customWidth="1"/>
    <col min="2" max="2" width="20.109375" bestFit="1" customWidth="1"/>
    <col min="11" max="11" width="10.88671875" bestFit="1" customWidth="1"/>
  </cols>
  <sheetData>
    <row r="1" spans="1:17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 x14ac:dyDescent="0.3">
      <c r="A7" s="1"/>
      <c r="B7" s="1"/>
      <c r="C7" s="1"/>
      <c r="D7" s="1"/>
      <c r="E7" s="1"/>
      <c r="F7" s="1"/>
      <c r="G7" s="1"/>
      <c r="H7" s="1"/>
      <c r="I7" s="27"/>
      <c r="J7" s="27"/>
      <c r="K7" s="27"/>
      <c r="L7" s="27"/>
      <c r="M7" s="27"/>
      <c r="N7" s="1"/>
      <c r="O7" s="1"/>
      <c r="P7" s="1"/>
      <c r="Q7" s="1"/>
    </row>
    <row r="8" spans="1:17" ht="25.8" x14ac:dyDescent="0.5">
      <c r="A8" s="2" t="s">
        <v>0</v>
      </c>
      <c r="B8" s="11"/>
      <c r="C8" s="1"/>
      <c r="D8" s="1"/>
      <c r="E8" s="1"/>
      <c r="F8" s="1"/>
      <c r="G8" s="1"/>
      <c r="H8" s="1"/>
      <c r="I8" s="27"/>
      <c r="J8" s="27"/>
      <c r="K8" s="27"/>
      <c r="L8" s="27"/>
      <c r="M8" s="27"/>
      <c r="N8" s="1"/>
      <c r="O8" s="1"/>
      <c r="P8" s="1"/>
      <c r="Q8" s="1"/>
    </row>
    <row r="9" spans="1:17" ht="25.8" x14ac:dyDescent="0.5">
      <c r="A9" s="2" t="s">
        <v>1</v>
      </c>
      <c r="B9" s="10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25.8" x14ac:dyDescent="0.5">
      <c r="A10" s="2" t="s">
        <v>2</v>
      </c>
      <c r="B10" s="10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25.8" x14ac:dyDescent="0.5">
      <c r="A11" s="2" t="s">
        <v>3</v>
      </c>
      <c r="B11" s="10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25.8" x14ac:dyDescent="0.5">
      <c r="A12" s="2" t="s">
        <v>18</v>
      </c>
      <c r="B12" s="12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</sheetData>
  <mergeCells count="1">
    <mergeCell ref="I7:M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BF92B-4AA1-4EAD-97C4-059E4F466AC3}">
  <sheetPr codeName="Sheet2"/>
  <dimension ref="A1:I14"/>
  <sheetViews>
    <sheetView showGridLines="0" workbookViewId="0">
      <selection activeCell="B4" sqref="B4"/>
    </sheetView>
  </sheetViews>
  <sheetFormatPr defaultRowHeight="14.4" x14ac:dyDescent="0.3"/>
  <cols>
    <col min="2" max="2" width="20.109375" bestFit="1" customWidth="1"/>
    <col min="3" max="3" width="21.33203125" customWidth="1"/>
    <col min="4" max="4" width="21" customWidth="1"/>
    <col min="5" max="5" width="17.33203125" customWidth="1"/>
    <col min="6" max="6" width="18" bestFit="1" customWidth="1"/>
  </cols>
  <sheetData>
    <row r="1" spans="1:9" ht="25.8" x14ac:dyDescent="0.5">
      <c r="A1" s="19" t="s">
        <v>21</v>
      </c>
      <c r="B1" s="6" t="s">
        <v>0</v>
      </c>
      <c r="C1" s="7" t="s">
        <v>1</v>
      </c>
      <c r="D1" s="7" t="s">
        <v>2</v>
      </c>
      <c r="E1" s="8" t="s">
        <v>3</v>
      </c>
      <c r="F1" s="7" t="s">
        <v>18</v>
      </c>
      <c r="I1" t="s">
        <v>6</v>
      </c>
    </row>
    <row r="2" spans="1:9" ht="25.8" x14ac:dyDescent="0.5">
      <c r="A2" s="3">
        <f>SUBTOTAL(3,$B$2:B2)</f>
        <v>1</v>
      </c>
      <c r="B2" s="11">
        <v>45376</v>
      </c>
      <c r="C2" s="10">
        <v>1</v>
      </c>
      <c r="D2" s="10" t="s">
        <v>16</v>
      </c>
      <c r="E2" s="10">
        <v>200</v>
      </c>
      <c r="F2" s="12">
        <v>10</v>
      </c>
    </row>
    <row r="3" spans="1:9" ht="25.8" x14ac:dyDescent="0.5">
      <c r="A3" s="3">
        <f>SUBTOTAL(3,$B$2:B3)</f>
        <v>2</v>
      </c>
      <c r="B3" s="11">
        <v>45384</v>
      </c>
      <c r="C3" s="10">
        <v>2</v>
      </c>
      <c r="D3" s="10" t="s">
        <v>16</v>
      </c>
      <c r="E3" s="10">
        <v>2</v>
      </c>
      <c r="F3" s="12">
        <v>2</v>
      </c>
    </row>
    <row r="4" spans="1:9" ht="25.8" x14ac:dyDescent="0.5">
      <c r="A4" s="3">
        <f>SUBTOTAL(3,$B$2:B4)</f>
        <v>2</v>
      </c>
      <c r="B4" s="11"/>
      <c r="C4" s="10"/>
      <c r="D4" s="10"/>
      <c r="E4" s="10"/>
      <c r="F4" s="12"/>
    </row>
    <row r="5" spans="1:9" ht="25.8" x14ac:dyDescent="0.5">
      <c r="A5" s="3">
        <f>SUBTOTAL(3,$B$2:B5)</f>
        <v>2</v>
      </c>
      <c r="B5" s="20"/>
      <c r="C5" s="20"/>
      <c r="D5" s="20"/>
      <c r="E5" s="20"/>
      <c r="F5" s="20"/>
    </row>
    <row r="6" spans="1:9" ht="25.8" x14ac:dyDescent="0.5">
      <c r="A6" s="3">
        <f>SUBTOTAL(3,$B$2:B6)</f>
        <v>2</v>
      </c>
      <c r="B6" s="20"/>
      <c r="C6" s="20"/>
      <c r="D6" s="20"/>
      <c r="E6" s="20"/>
      <c r="F6" s="20"/>
    </row>
    <row r="7" spans="1:9" ht="25.8" x14ac:dyDescent="0.5">
      <c r="A7" s="3">
        <f>SUBTOTAL(3,$B$2:B7)</f>
        <v>2</v>
      </c>
      <c r="B7" s="20"/>
      <c r="C7" s="20"/>
      <c r="D7" s="20"/>
      <c r="E7" s="20"/>
      <c r="F7" s="20"/>
    </row>
    <row r="8" spans="1:9" ht="25.8" x14ac:dyDescent="0.5">
      <c r="A8" s="3">
        <f>SUBTOTAL(3,$B$2:B8)</f>
        <v>2</v>
      </c>
      <c r="B8" s="20"/>
      <c r="C8" s="20"/>
      <c r="D8" s="20"/>
      <c r="E8" s="20"/>
      <c r="F8" s="20"/>
    </row>
    <row r="9" spans="1:9" ht="25.8" x14ac:dyDescent="0.5">
      <c r="A9" s="3">
        <f>SUBTOTAL(3,$B$2:B9)</f>
        <v>2</v>
      </c>
      <c r="B9" s="20"/>
      <c r="C9" s="20"/>
      <c r="D9" s="20"/>
      <c r="E9" s="20"/>
      <c r="F9" s="20"/>
    </row>
    <row r="10" spans="1:9" ht="25.8" x14ac:dyDescent="0.5">
      <c r="A10" s="3">
        <f>SUBTOTAL(3,$B$2:B10)</f>
        <v>2</v>
      </c>
      <c r="B10" s="20"/>
      <c r="C10" s="20"/>
      <c r="D10" s="20"/>
      <c r="E10" s="20"/>
      <c r="F10" s="20"/>
    </row>
    <row r="11" spans="1:9" ht="25.8" x14ac:dyDescent="0.5">
      <c r="A11" s="3">
        <f>SUBTOTAL(3,$B$2:B11)</f>
        <v>2</v>
      </c>
      <c r="B11" s="20"/>
      <c r="C11" s="20"/>
      <c r="D11" s="20"/>
      <c r="E11" s="20"/>
      <c r="F11" s="20"/>
    </row>
    <row r="12" spans="1:9" ht="25.8" x14ac:dyDescent="0.5">
      <c r="A12" s="3">
        <f>SUBTOTAL(3,$B$2:B12)</f>
        <v>2</v>
      </c>
      <c r="B12" s="20"/>
      <c r="C12" s="20"/>
      <c r="D12" s="20"/>
      <c r="E12" s="20"/>
      <c r="F12" s="20"/>
    </row>
    <row r="13" spans="1:9" ht="25.8" x14ac:dyDescent="0.5">
      <c r="A13" s="3">
        <f>SUBTOTAL(3,$B$2:B13)</f>
        <v>2</v>
      </c>
      <c r="B13" s="20"/>
      <c r="C13" s="20"/>
      <c r="D13" s="20"/>
      <c r="E13" s="20"/>
      <c r="F13" s="20"/>
    </row>
    <row r="14" spans="1:9" ht="25.8" x14ac:dyDescent="0.5">
      <c r="A14" s="3">
        <f>SUBTOTAL(3,$B$2:B14)</f>
        <v>2</v>
      </c>
      <c r="B14" s="20"/>
      <c r="C14" s="20"/>
      <c r="D14" s="20"/>
      <c r="E14" s="20"/>
      <c r="F14" s="2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A44E2-428B-4C96-AB34-749F794096A7}">
  <sheetPr codeName="Sheet3"/>
  <dimension ref="A1:F21"/>
  <sheetViews>
    <sheetView showGridLines="0" workbookViewId="0">
      <selection activeCell="B3" sqref="B3:F3"/>
    </sheetView>
  </sheetViews>
  <sheetFormatPr defaultRowHeight="14.4" x14ac:dyDescent="0.3"/>
  <cols>
    <col min="1" max="1" width="11.109375" customWidth="1"/>
    <col min="2" max="2" width="20.109375" bestFit="1" customWidth="1"/>
    <col min="3" max="3" width="20" bestFit="1" customWidth="1"/>
    <col min="4" max="4" width="21" customWidth="1"/>
    <col min="5" max="5" width="17.33203125" customWidth="1"/>
    <col min="6" max="6" width="11.109375" customWidth="1"/>
  </cols>
  <sheetData>
    <row r="1" spans="1:6" ht="25.8" x14ac:dyDescent="0.5">
      <c r="A1" s="6" t="s">
        <v>21</v>
      </c>
      <c r="B1" s="7" t="s">
        <v>0</v>
      </c>
      <c r="C1" s="7" t="s">
        <v>1</v>
      </c>
      <c r="D1" s="7" t="s">
        <v>2</v>
      </c>
      <c r="E1" s="7" t="s">
        <v>3</v>
      </c>
      <c r="F1" s="8" t="s">
        <v>18</v>
      </c>
    </row>
    <row r="2" spans="1:6" ht="25.8" x14ac:dyDescent="0.5">
      <c r="A2" s="23">
        <f>SUBTOTAL(3,$B$2:B2)</f>
        <v>1</v>
      </c>
      <c r="B2" s="11">
        <v>45443</v>
      </c>
      <c r="C2" s="10">
        <v>3</v>
      </c>
      <c r="D2" s="10" t="s">
        <v>16</v>
      </c>
      <c r="E2" s="10">
        <v>4</v>
      </c>
      <c r="F2" s="12">
        <v>6</v>
      </c>
    </row>
    <row r="3" spans="1:6" ht="25.8" x14ac:dyDescent="0.5">
      <c r="A3" s="23">
        <f>SUBTOTAL(3,$B$2:B3)</f>
        <v>2</v>
      </c>
      <c r="B3" s="11">
        <v>2</v>
      </c>
      <c r="C3" s="10">
        <v>4</v>
      </c>
      <c r="D3" s="10" t="s">
        <v>16</v>
      </c>
      <c r="E3" s="10">
        <v>10</v>
      </c>
      <c r="F3" s="12">
        <v>3</v>
      </c>
    </row>
    <row r="4" spans="1:6" ht="25.8" x14ac:dyDescent="0.5">
      <c r="A4" s="23">
        <f>SUBTOTAL(3,$B$2:B4)</f>
        <v>2</v>
      </c>
      <c r="B4" s="22"/>
      <c r="C4" s="22"/>
      <c r="D4" s="22"/>
      <c r="E4" s="22"/>
      <c r="F4" s="24"/>
    </row>
    <row r="5" spans="1:6" ht="25.8" x14ac:dyDescent="0.5">
      <c r="A5" s="23">
        <f>SUBTOTAL(3,$B$2:B5)</f>
        <v>2</v>
      </c>
      <c r="B5" s="22"/>
      <c r="C5" s="22"/>
      <c r="D5" s="22"/>
      <c r="E5" s="22"/>
      <c r="F5" s="24"/>
    </row>
    <row r="6" spans="1:6" ht="25.8" x14ac:dyDescent="0.5">
      <c r="A6" s="23">
        <f>SUBTOTAL(3,$B$2:B6)</f>
        <v>2</v>
      </c>
      <c r="B6" s="22"/>
      <c r="C6" s="22"/>
      <c r="D6" s="22"/>
      <c r="E6" s="22"/>
      <c r="F6" s="24"/>
    </row>
    <row r="7" spans="1:6" ht="25.8" x14ac:dyDescent="0.5">
      <c r="A7" s="23">
        <f>SUBTOTAL(3,$B$2:B7)</f>
        <v>2</v>
      </c>
      <c r="B7" s="22"/>
      <c r="C7" s="22"/>
      <c r="D7" s="22"/>
      <c r="E7" s="22"/>
      <c r="F7" s="24"/>
    </row>
    <row r="8" spans="1:6" ht="25.8" x14ac:dyDescent="0.5">
      <c r="A8" s="23">
        <f>SUBTOTAL(3,$B$2:B8)</f>
        <v>2</v>
      </c>
      <c r="B8" s="22"/>
      <c r="C8" s="22"/>
      <c r="D8" s="22"/>
      <c r="E8" s="22"/>
      <c r="F8" s="24"/>
    </row>
    <row r="9" spans="1:6" ht="25.8" x14ac:dyDescent="0.5">
      <c r="A9" s="23">
        <f>SUBTOTAL(3,$B$2:B9)</f>
        <v>2</v>
      </c>
      <c r="B9" s="22"/>
      <c r="C9" s="22"/>
      <c r="D9" s="22"/>
      <c r="E9" s="22"/>
      <c r="F9" s="24"/>
    </row>
    <row r="10" spans="1:6" ht="25.8" x14ac:dyDescent="0.5">
      <c r="A10" s="23">
        <f>SUBTOTAL(3,$B$2:B10)</f>
        <v>2</v>
      </c>
      <c r="B10" s="22"/>
      <c r="C10" s="22"/>
      <c r="D10" s="22"/>
      <c r="E10" s="22"/>
      <c r="F10" s="24"/>
    </row>
    <row r="11" spans="1:6" ht="25.8" x14ac:dyDescent="0.5">
      <c r="A11" s="23">
        <f>SUBTOTAL(3,$B$2:B11)</f>
        <v>2</v>
      </c>
      <c r="B11" s="22"/>
      <c r="C11" s="22"/>
      <c r="D11" s="22"/>
      <c r="E11" s="22"/>
      <c r="F11" s="24"/>
    </row>
    <row r="12" spans="1:6" ht="25.8" x14ac:dyDescent="0.5">
      <c r="A12" s="23">
        <f>SUBTOTAL(3,$B$2:B12)</f>
        <v>2</v>
      </c>
      <c r="B12" s="22"/>
      <c r="C12" s="22"/>
      <c r="D12" s="22"/>
      <c r="E12" s="22"/>
      <c r="F12" s="24"/>
    </row>
    <row r="13" spans="1:6" ht="25.8" x14ac:dyDescent="0.5">
      <c r="A13" s="23">
        <f>SUBTOTAL(3,$B$2:B13)</f>
        <v>2</v>
      </c>
      <c r="B13" s="22"/>
      <c r="C13" s="22"/>
      <c r="D13" s="22"/>
      <c r="E13" s="22"/>
      <c r="F13" s="24"/>
    </row>
    <row r="14" spans="1:6" ht="25.8" x14ac:dyDescent="0.5">
      <c r="A14" s="23">
        <f>SUBTOTAL(3,$B$2:B14)</f>
        <v>2</v>
      </c>
      <c r="B14" s="22"/>
      <c r="C14" s="22"/>
      <c r="D14" s="22"/>
      <c r="E14" s="22"/>
      <c r="F14" s="24"/>
    </row>
    <row r="15" spans="1:6" ht="25.8" x14ac:dyDescent="0.5">
      <c r="A15" s="23">
        <f>SUBTOTAL(3,$B$2:B15)</f>
        <v>2</v>
      </c>
      <c r="B15" s="22"/>
      <c r="C15" s="22"/>
      <c r="D15" s="22"/>
      <c r="E15" s="22"/>
      <c r="F15" s="24"/>
    </row>
    <row r="16" spans="1:6" ht="25.8" x14ac:dyDescent="0.5">
      <c r="A16" s="23">
        <f>SUBTOTAL(3,$B$2:B16)</f>
        <v>2</v>
      </c>
      <c r="B16" s="22"/>
      <c r="C16" s="22"/>
      <c r="D16" s="22"/>
      <c r="E16" s="22"/>
      <c r="F16" s="24"/>
    </row>
    <row r="17" spans="1:6" ht="25.8" x14ac:dyDescent="0.5">
      <c r="A17" s="23">
        <f>SUBTOTAL(3,$B$2:B17)</f>
        <v>2</v>
      </c>
      <c r="B17" s="22"/>
      <c r="C17" s="22"/>
      <c r="D17" s="22"/>
      <c r="E17" s="22"/>
      <c r="F17" s="24"/>
    </row>
    <row r="18" spans="1:6" ht="25.8" x14ac:dyDescent="0.5">
      <c r="A18" s="23">
        <f>SUBTOTAL(3,$B$2:B18)</f>
        <v>2</v>
      </c>
      <c r="B18" s="22"/>
      <c r="C18" s="22"/>
      <c r="D18" s="22"/>
      <c r="E18" s="22"/>
      <c r="F18" s="24"/>
    </row>
    <row r="19" spans="1:6" ht="25.8" x14ac:dyDescent="0.5">
      <c r="A19" s="23">
        <f>SUBTOTAL(3,$B$2:B19)</f>
        <v>2</v>
      </c>
      <c r="B19" s="22"/>
      <c r="C19" s="22"/>
      <c r="D19" s="22"/>
      <c r="E19" s="22"/>
      <c r="F19" s="24"/>
    </row>
    <row r="20" spans="1:6" ht="25.8" x14ac:dyDescent="0.5">
      <c r="A20" s="23">
        <f>SUBTOTAL(3,$B$2:B20)</f>
        <v>2</v>
      </c>
      <c r="B20" s="22"/>
      <c r="C20" s="22"/>
      <c r="D20" s="22"/>
      <c r="E20" s="22"/>
      <c r="F20" s="24"/>
    </row>
    <row r="21" spans="1:6" ht="25.8" x14ac:dyDescent="0.5">
      <c r="A21" s="23">
        <f>SUBTOTAL(3,$B$2:B21)</f>
        <v>2</v>
      </c>
      <c r="B21" s="25"/>
      <c r="C21" s="25"/>
      <c r="D21" s="25"/>
      <c r="E21" s="25"/>
      <c r="F21" s="2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FA71-C1A5-48B0-A575-31782233B4B0}">
  <sheetPr codeName="Sheet4"/>
  <dimension ref="A1:D15"/>
  <sheetViews>
    <sheetView showGridLines="0" workbookViewId="0">
      <selection activeCell="D2" sqref="D2"/>
    </sheetView>
  </sheetViews>
  <sheetFormatPr defaultRowHeight="14.4" x14ac:dyDescent="0.3"/>
  <cols>
    <col min="2" max="2" width="21" customWidth="1"/>
    <col min="3" max="3" width="17.109375" customWidth="1"/>
    <col min="4" max="4" width="18.88671875" bestFit="1" customWidth="1"/>
  </cols>
  <sheetData>
    <row r="1" spans="1:4" ht="25.8" x14ac:dyDescent="0.5">
      <c r="A1" s="21" t="s">
        <v>21</v>
      </c>
      <c r="B1" s="14" t="s">
        <v>2</v>
      </c>
      <c r="C1" s="15" t="s">
        <v>4</v>
      </c>
      <c r="D1" s="16" t="s">
        <v>5</v>
      </c>
    </row>
    <row r="2" spans="1:4" ht="25.8" x14ac:dyDescent="0.5">
      <c r="A2" s="20">
        <f>SUBTOTAL(3,$B$2:B2)</f>
        <v>1</v>
      </c>
      <c r="B2" s="4" t="s">
        <v>7</v>
      </c>
      <c r="C2" s="3">
        <f>SUMIF(Purchase!D:D,Stock!B:B,Purchase!E:E)-SUMIF(Sales!D:D,Stock!B:B,Sales!E:E)</f>
        <v>0</v>
      </c>
      <c r="D2" s="5" t="str">
        <f>IF(C2&lt;50,"Low Stock","Have Stock")</f>
        <v>Low Stock</v>
      </c>
    </row>
    <row r="3" spans="1:4" ht="25.8" x14ac:dyDescent="0.5">
      <c r="A3" s="20">
        <f>SUBTOTAL(3,$B$2:B3)</f>
        <v>2</v>
      </c>
      <c r="B3" s="4" t="s">
        <v>8</v>
      </c>
      <c r="C3" s="3">
        <f>SUMIF(Purchase!D:D,Stock!B:B,Purchase!E:E)-SUMIF(Sales!D:D,Stock!B:B,Sales!E:E)</f>
        <v>0</v>
      </c>
      <c r="D3" s="5" t="str">
        <f t="shared" ref="D3:D10" si="0">IF(C3&lt;50,"Low Stock","Have Stock")</f>
        <v>Low Stock</v>
      </c>
    </row>
    <row r="4" spans="1:4" ht="25.8" x14ac:dyDescent="0.5">
      <c r="A4" s="20">
        <f>SUBTOTAL(3,$B$2:B4)</f>
        <v>3</v>
      </c>
      <c r="B4" s="4" t="s">
        <v>9</v>
      </c>
      <c r="C4" s="3">
        <f>SUMIF(Purchase!D:D,Stock!B:B,Purchase!E:E)-SUMIF(Sales!D:D,Stock!B:B,Sales!E:E)</f>
        <v>0</v>
      </c>
      <c r="D4" s="5" t="str">
        <f t="shared" si="0"/>
        <v>Low Stock</v>
      </c>
    </row>
    <row r="5" spans="1:4" ht="25.8" x14ac:dyDescent="0.5">
      <c r="A5" s="20">
        <f>SUBTOTAL(3,$B$2:B5)</f>
        <v>4</v>
      </c>
      <c r="B5" s="4" t="s">
        <v>10</v>
      </c>
      <c r="C5" s="3">
        <f>SUMIF(Purchase!D:D,Stock!B:B,Purchase!E:E)-SUMIF(Sales!D:D,Stock!B:B,Sales!E:E)</f>
        <v>0</v>
      </c>
      <c r="D5" s="5" t="str">
        <f t="shared" si="0"/>
        <v>Low Stock</v>
      </c>
    </row>
    <row r="6" spans="1:4" ht="25.8" x14ac:dyDescent="0.5">
      <c r="A6" s="20">
        <f>SUBTOTAL(3,$B$2:B6)</f>
        <v>5</v>
      </c>
      <c r="B6" s="4" t="s">
        <v>11</v>
      </c>
      <c r="C6" s="3">
        <f>SUMIF(Purchase!D:D,Stock!B:B,Purchase!E:E)-SUMIF(Sales!D:D,Stock!B:B,Sales!E:E)</f>
        <v>0</v>
      </c>
      <c r="D6" s="5" t="str">
        <f t="shared" si="0"/>
        <v>Low Stock</v>
      </c>
    </row>
    <row r="7" spans="1:4" ht="25.8" x14ac:dyDescent="0.5">
      <c r="A7" s="20">
        <f>SUBTOTAL(3,$B$2:B7)</f>
        <v>6</v>
      </c>
      <c r="B7" s="4" t="s">
        <v>12</v>
      </c>
      <c r="C7" s="3">
        <f>SUMIF(Purchase!D:D,Stock!B:B,Purchase!E:E)-SUMIF(Sales!D:D,Stock!B:B,Sales!E:E)</f>
        <v>0</v>
      </c>
      <c r="D7" s="5" t="str">
        <f t="shared" si="0"/>
        <v>Low Stock</v>
      </c>
    </row>
    <row r="8" spans="1:4" ht="25.8" x14ac:dyDescent="0.5">
      <c r="A8" s="20">
        <f>SUBTOTAL(3,$B$2:B8)</f>
        <v>7</v>
      </c>
      <c r="B8" s="4" t="s">
        <v>13</v>
      </c>
      <c r="C8" s="3">
        <f>SUMIF(Purchase!D:D,Stock!B:B,Purchase!E:E)-SUMIF(Sales!D:D,Stock!B:B,Sales!E:E)</f>
        <v>0</v>
      </c>
      <c r="D8" s="5" t="str">
        <f t="shared" si="0"/>
        <v>Low Stock</v>
      </c>
    </row>
    <row r="9" spans="1:4" ht="25.8" x14ac:dyDescent="0.5">
      <c r="A9" s="20">
        <f>SUBTOTAL(3,$B$2:B9)</f>
        <v>8</v>
      </c>
      <c r="B9" s="4" t="s">
        <v>14</v>
      </c>
      <c r="C9" s="3">
        <f>SUMIF(Purchase!D:D,Stock!B:B,Purchase!E:E)-SUMIF(Sales!D:D,Stock!B:B,Sales!E:E)</f>
        <v>0</v>
      </c>
      <c r="D9" s="5" t="str">
        <f t="shared" si="0"/>
        <v>Low Stock</v>
      </c>
    </row>
    <row r="10" spans="1:4" ht="25.8" x14ac:dyDescent="0.5">
      <c r="A10" s="20">
        <f>SUBTOTAL(3,$B$2:B10)</f>
        <v>9</v>
      </c>
      <c r="B10" s="4" t="s">
        <v>15</v>
      </c>
      <c r="C10" s="3">
        <f>SUMIF(Purchase!D:D,Stock!B:B,Purchase!E:E)-SUMIF(Sales!D:D,Stock!B:B,Sales!E:E)</f>
        <v>0</v>
      </c>
      <c r="D10" s="5" t="str">
        <f t="shared" si="0"/>
        <v>Low Stock</v>
      </c>
    </row>
    <row r="11" spans="1:4" ht="25.8" x14ac:dyDescent="0.5">
      <c r="A11" s="20">
        <f>SUBTOTAL(3,$B$2:B11)</f>
        <v>10</v>
      </c>
      <c r="B11" s="4" t="s">
        <v>16</v>
      </c>
      <c r="C11" s="3">
        <f>SUMIF(Purchase!D:D,Stock!B:B,Purchase!E:E)-SUMIF(Sales!D:D,Stock!B:B,Sales!E:E)</f>
        <v>188</v>
      </c>
      <c r="D11" s="5" t="str">
        <f>IF(C11&lt;50,"Low Stock","Have Stock")</f>
        <v>Have Stock</v>
      </c>
    </row>
    <row r="12" spans="1:4" ht="25.8" x14ac:dyDescent="0.5">
      <c r="A12" s="20">
        <f>SUBTOTAL(3,$B$2:B12)</f>
        <v>11</v>
      </c>
      <c r="B12" s="4" t="s">
        <v>17</v>
      </c>
      <c r="C12" s="3">
        <f>SUMIF(Purchase!D:D,Stock!B:B,Purchase!E:E)-SUMIF(Sales!D:D,Stock!B:B,Sales!E:E)</f>
        <v>0</v>
      </c>
      <c r="D12" s="9" t="str">
        <f>IF(C12&lt;50,"Low Stock","Have Stock")</f>
        <v>Low Stock</v>
      </c>
    </row>
    <row r="13" spans="1:4" ht="30" customHeight="1" x14ac:dyDescent="0.5">
      <c r="A13" s="20">
        <f>SUBTOTAL(3,$B$2:B13)</f>
        <v>12</v>
      </c>
      <c r="B13" s="13" t="s">
        <v>19</v>
      </c>
      <c r="C13" s="3">
        <f>SUMIF(Purchase!D:D,Stock!B:B,Purchase!E:E)-SUMIF(Sales!D:D,Stock!B:B,Sales!E:E)</f>
        <v>0</v>
      </c>
      <c r="D13" s="17" t="str">
        <f t="shared" ref="D13:D15" si="1">IF(C13&lt;50,"Low Stock","Have Stock")</f>
        <v>Low Stock</v>
      </c>
    </row>
    <row r="14" spans="1:4" ht="25.8" x14ac:dyDescent="0.5">
      <c r="A14" s="20">
        <f>SUBTOTAL(3,$B$2:B14)</f>
        <v>13</v>
      </c>
      <c r="B14" s="13" t="s">
        <v>20</v>
      </c>
      <c r="C14" s="3">
        <f>SUMIF(Purchase!D:D,Stock!B:B,Purchase!E:E)-SUMIF(Sales!D:D,Stock!B:B,Sales!E:E)</f>
        <v>0</v>
      </c>
      <c r="D14" s="17" t="str">
        <f t="shared" si="1"/>
        <v>Low Stock</v>
      </c>
    </row>
    <row r="15" spans="1:4" ht="25.8" x14ac:dyDescent="0.5">
      <c r="A15" s="20">
        <f>SUBTOTAL(3,$B$2:B15)</f>
        <v>14</v>
      </c>
      <c r="B15" s="18" t="s">
        <v>12</v>
      </c>
      <c r="C15" s="3">
        <f>SUMIF(Purchase!D:D,Stock!B:B,Purchase!E:E)-SUMIF(Sales!D:D,Stock!B:B,Sales!E:E)</f>
        <v>0</v>
      </c>
      <c r="D15" s="17" t="str">
        <f t="shared" si="1"/>
        <v>Low Stock</v>
      </c>
    </row>
  </sheetData>
  <conditionalFormatting sqref="D2:D15">
    <cfRule type="containsText" dxfId="0" priority="1" operator="containsText" text="low stock">
      <formula>NOT(ISERROR(SEARCH("low stock",D2)))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 Menu</vt:lpstr>
      <vt:lpstr>Purchase</vt:lpstr>
      <vt:lpstr>Sales</vt:lpstr>
      <vt:lpstr>Stock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SSD</dc:creator>
  <cp:lastModifiedBy>Varun Sabharwal</cp:lastModifiedBy>
  <dcterms:created xsi:type="dcterms:W3CDTF">2024-05-02T04:42:04Z</dcterms:created>
  <dcterms:modified xsi:type="dcterms:W3CDTF">2024-05-31T12:20:37Z</dcterms:modified>
</cp:coreProperties>
</file>